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todistabr-my.sharepoint.com/personal/francisca_bezerra_metodista_br/Documents/Área de Trabalho/Dio/"/>
    </mc:Choice>
  </mc:AlternateContent>
  <xr:revisionPtr revIDLastSave="339" documentId="8_{3A080164-F675-49AE-AE7D-ADDBF424CAC7}" xr6:coauthVersionLast="47" xr6:coauthVersionMax="47" xr10:uidLastSave="{C50753DC-2DC3-4B0F-ADA7-05951C40C495}"/>
  <bookViews>
    <workbookView xWindow="-120" yWindow="-120" windowWidth="20730" windowHeight="11040" xr2:uid="{972C2310-7C1E-4768-B5CA-F60CBF59786F}"/>
  </bookViews>
  <sheets>
    <sheet name="APP" sheetId="1" r:id="rId1"/>
    <sheet name="Apoio" sheetId="2" r:id="rId2"/>
  </sheets>
  <definedNames>
    <definedName name="aporte">APP!$D$18</definedName>
    <definedName name="patrimonio">APP!$D$21</definedName>
    <definedName name="qtd_anos">APP!$D$19</definedName>
    <definedName name="rendimento_carteira">APP!$D$14</definedName>
    <definedName name="salario">APP!$D$13</definedName>
    <definedName name="sugestao_investimento">APP!$D$15</definedName>
    <definedName name="taxa_mensal">APP!$D$20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  <c r="C38" i="1"/>
  <c r="C39" i="1"/>
  <c r="C40" i="1"/>
  <c r="C41" i="1"/>
  <c r="C36" i="1"/>
  <c r="H4" i="2"/>
  <c r="A15" i="2"/>
  <c r="A16" i="2"/>
  <c r="A17" i="2"/>
  <c r="A18" i="2"/>
  <c r="A19" i="2"/>
  <c r="A20" i="2"/>
  <c r="A10" i="2"/>
  <c r="A11" i="2"/>
  <c r="A12" i="2"/>
  <c r="A13" i="2"/>
  <c r="A14" i="2"/>
  <c r="A9" i="2"/>
  <c r="A4" i="2"/>
  <c r="A5" i="2"/>
  <c r="A6" i="2"/>
  <c r="A7" i="2"/>
  <c r="A8" i="2"/>
  <c r="A3" i="2"/>
  <c r="C33" i="1"/>
  <c r="D21" i="1"/>
  <c r="D22" i="1" s="1"/>
  <c r="C26" i="1"/>
  <c r="D26" i="1" s="1"/>
  <c r="D15" i="1"/>
  <c r="C25" i="1"/>
  <c r="D25" i="1" s="1"/>
  <c r="D41" i="1" l="1"/>
  <c r="D40" i="1"/>
  <c r="D39" i="1"/>
  <c r="D38" i="1"/>
  <c r="D37" i="1"/>
  <c r="D36" i="1"/>
  <c r="C29" i="1"/>
  <c r="D29" i="1" s="1"/>
  <c r="C28" i="1"/>
  <c r="D28" i="1" s="1"/>
  <c r="C27" i="1"/>
  <c r="D27" i="1" s="1"/>
  <c r="D42" i="1" l="1"/>
</calcChain>
</file>

<file path=xl/sharedStrings.xml><?xml version="1.0" encoding="utf-8"?>
<sst xmlns="http://schemas.openxmlformats.org/spreadsheetml/2006/main" count="71" uniqueCount="34">
  <si>
    <t>Quanto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</si>
  <si>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</si>
  <si>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</si>
  <si>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</si>
  <si>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</si>
  <si>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</si>
  <si>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</si>
  <si>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</si>
  <si>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</si>
  <si>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</si>
  <si>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</si>
  <si>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</si>
  <si>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</si>
  <si>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Rendimento Carteira</t>
  </si>
  <si>
    <t>Salário</t>
  </si>
  <si>
    <t>Sugestão de investimento</t>
  </si>
  <si>
    <t>CONFIGURAÇÕES</t>
  </si>
  <si>
    <t>Conservador</t>
  </si>
  <si>
    <t>Moderado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</si>
  <si>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</si>
  <si>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</si>
  <si>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</si>
  <si>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</si>
  <si>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</si>
  <si>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</si>
  <si>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</si>
  <si>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</si>
  <si>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FOF's</t>
  </si>
  <si>
    <t>DESENVOLVIMENTO</t>
  </si>
  <si>
    <t>HOTELARIAS</t>
  </si>
  <si>
    <t>%</t>
  </si>
  <si>
    <t>CHAVE</t>
  </si>
  <si>
    <t>Agressivo</t>
  </si>
  <si>
    <t>Moderado-TIJOLO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</si>
</sst>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Display"/>
      <family val="2"/>
      <scheme val="major"/>
    </font>
    <font>
      <sz val="12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b/>
      <sz val="14"/>
      <color theme="0"/>
      <name val="Aptos Display"/>
      <family val="2"/>
      <scheme val="maj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indexed="64"/>
      </right>
      <top/>
      <bottom style="thin">
        <color theme="2" tint="-0.24994659260841701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medium">
        <color indexed="64"/>
      </bottom>
      <diagonal/>
    </border>
    <border>
      <left style="thin">
        <color theme="2" tint="-0.24994659260841701"/>
      </left>
      <right style="medium">
        <color indexed="64"/>
      </right>
      <top/>
      <bottom style="medium">
        <color indexed="64"/>
      </bottom>
      <diagonal/>
    </border>
    <border>
      <left style="medium">
        <color theme="0" tint="-0.14996795556505021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/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9" fillId="6" borderId="0" applyNumberFormat="0" applyBorder="0" applyAlignment="0" applyProtection="0"/>
  </cellStyleXfs>
  <cellXfs count="58">
    <xf numFmtId="0" fontId="0" fillId="0" borderId="0" xfId="0"/>
    <xf numFmtId="0" fontId="2" fillId="0" borderId="0" xfId="0" applyFont="1"/>
    <xf numFmtId="9" fontId="0" fillId="0" borderId="0" xfId="0" applyNumberFormat="1"/>
    <xf numFmtId="0" fontId="3" fillId="4" borderId="2" xfId="0" applyFont="1" applyFill="1" applyBorder="1" applyAlignment="1">
      <alignment vertical="center"/>
    </xf>
    <xf numFmtId="164" fontId="5" fillId="0" borderId="15" xfId="0" applyNumberFormat="1" applyFont="1" applyBorder="1" applyAlignment="1">
      <alignment horizontal="center"/>
    </xf>
    <xf numFmtId="10" fontId="5" fillId="0" borderId="17" xfId="0" applyNumberFormat="1" applyFont="1" applyBorder="1" applyAlignment="1">
      <alignment horizontal="center"/>
    </xf>
    <xf numFmtId="0" fontId="3" fillId="2" borderId="2" xfId="0" applyFont="1" applyFill="1" applyBorder="1" applyAlignment="1">
      <alignment vertical="center"/>
    </xf>
    <xf numFmtId="164" fontId="6" fillId="0" borderId="15" xfId="1" applyNumberFormat="1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10" fontId="6" fillId="0" borderId="17" xfId="0" applyNumberFormat="1" applyFont="1" applyBorder="1" applyAlignment="1">
      <alignment horizontal="center"/>
    </xf>
    <xf numFmtId="8" fontId="6" fillId="3" borderId="17" xfId="0" applyNumberFormat="1" applyFont="1" applyFill="1" applyBorder="1" applyAlignment="1">
      <alignment horizontal="center"/>
    </xf>
    <xf numFmtId="8" fontId="6" fillId="3" borderId="20" xfId="0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indent="3"/>
    </xf>
    <xf numFmtId="164" fontId="5" fillId="3" borderId="8" xfId="0" applyNumberFormat="1" applyFont="1" applyFill="1" applyBorder="1" applyAlignment="1">
      <alignment horizontal="center"/>
    </xf>
    <xf numFmtId="164" fontId="5" fillId="3" borderId="4" xfId="0" applyNumberFormat="1" applyFont="1" applyFill="1" applyBorder="1" applyAlignment="1">
      <alignment horizontal="center"/>
    </xf>
    <xf numFmtId="0" fontId="4" fillId="3" borderId="5" xfId="0" applyFont="1" applyFill="1" applyBorder="1" applyAlignment="1">
      <alignment horizontal="left" indent="3"/>
    </xf>
    <xf numFmtId="164" fontId="5" fillId="3" borderId="9" xfId="0" applyNumberFormat="1" applyFont="1" applyFill="1" applyBorder="1" applyAlignment="1">
      <alignment horizontal="center"/>
    </xf>
    <xf numFmtId="0" fontId="4" fillId="3" borderId="6" xfId="0" applyFont="1" applyFill="1" applyBorder="1" applyAlignment="1">
      <alignment horizontal="left" indent="3"/>
    </xf>
    <xf numFmtId="164" fontId="5" fillId="3" borderId="10" xfId="0" applyNumberFormat="1" applyFont="1" applyFill="1" applyBorder="1" applyAlignment="1">
      <alignment horizontal="center"/>
    </xf>
    <xf numFmtId="164" fontId="5" fillId="3" borderId="11" xfId="0" applyNumberFormat="1" applyFont="1" applyFill="1" applyBorder="1" applyAlignment="1">
      <alignment horizontal="center"/>
    </xf>
    <xf numFmtId="164" fontId="5" fillId="5" borderId="20" xfId="0" applyNumberFormat="1" applyFont="1" applyFill="1" applyBorder="1" applyAlignment="1">
      <alignment horizontal="center"/>
    </xf>
    <xf numFmtId="0" fontId="4" fillId="5" borderId="14" xfId="0" applyFont="1" applyFill="1" applyBorder="1" applyAlignment="1">
      <alignment horizontal="left" indent="3"/>
    </xf>
    <xf numFmtId="0" fontId="4" fillId="5" borderId="12" xfId="0" applyFont="1" applyFill="1" applyBorder="1" applyAlignment="1">
      <alignment horizontal="left" indent="3"/>
    </xf>
    <xf numFmtId="0" fontId="4" fillId="5" borderId="16" xfId="0" applyFont="1" applyFill="1" applyBorder="1" applyAlignment="1">
      <alignment horizontal="left" indent="3"/>
    </xf>
    <xf numFmtId="0" fontId="4" fillId="5" borderId="13" xfId="0" applyFont="1" applyFill="1" applyBorder="1" applyAlignment="1">
      <alignment horizontal="left" indent="3"/>
    </xf>
    <xf numFmtId="0" fontId="4" fillId="5" borderId="18" xfId="0" applyFont="1" applyFill="1" applyBorder="1" applyAlignment="1">
      <alignment horizontal="left" indent="3"/>
    </xf>
    <xf numFmtId="0" fontId="4" fillId="5" borderId="19" xfId="0" applyFont="1" applyFill="1" applyBorder="1" applyAlignment="1">
      <alignment horizontal="left" indent="3"/>
    </xf>
    <xf numFmtId="0" fontId="3" fillId="4" borderId="1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7" fillId="3" borderId="16" xfId="0" applyFont="1" applyFill="1" applyBorder="1" applyAlignment="1">
      <alignment horizontal="left" indent="3"/>
    </xf>
    <xf numFmtId="0" fontId="7" fillId="3" borderId="13" xfId="0" applyFont="1" applyFill="1" applyBorder="1" applyAlignment="1">
      <alignment horizontal="left" indent="3"/>
    </xf>
    <xf numFmtId="0" fontId="7" fillId="3" borderId="18" xfId="0" applyFont="1" applyFill="1" applyBorder="1" applyAlignment="1">
      <alignment horizontal="left" indent="3"/>
    </xf>
    <xf numFmtId="0" fontId="7" fillId="3" borderId="19" xfId="0" applyFont="1" applyFill="1" applyBorder="1" applyAlignment="1">
      <alignment horizontal="left" indent="3"/>
    </xf>
    <xf numFmtId="0" fontId="9" fillId="6" borderId="0" xfId="2"/>
    <xf numFmtId="0" fontId="0" fillId="3" borderId="0" xfId="0" applyFill="1"/>
    <xf numFmtId="0" fontId="9" fillId="6" borderId="0" xfId="2" applyAlignment="1">
      <alignment horizontal="center"/>
    </xf>
    <xf numFmtId="164" fontId="0" fillId="3" borderId="0" xfId="0" applyNumberFormat="1" applyFill="1" applyAlignment="1">
      <alignment horizontal="center"/>
    </xf>
    <xf numFmtId="0" fontId="10" fillId="3" borderId="0" xfId="0" applyFont="1" applyFill="1"/>
    <xf numFmtId="164" fontId="10" fillId="3" borderId="0" xfId="0" applyNumberFormat="1" applyFont="1" applyFill="1" applyAlignment="1">
      <alignment horizontal="center"/>
    </xf>
    <xf numFmtId="0" fontId="9" fillId="6" borderId="0" xfId="2" applyBorder="1" applyAlignment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10" fillId="7" borderId="0" xfId="0" applyFont="1" applyFill="1" applyAlignment="1">
      <alignment horizontal="center"/>
    </xf>
    <xf numFmtId="0" fontId="0" fillId="0" borderId="0" xfId="0" applyBorder="1"/>
    <xf numFmtId="0" fontId="0" fillId="0" borderId="21" xfId="0" applyBorder="1"/>
    <xf numFmtId="9" fontId="0" fillId="0" borderId="0" xfId="0" applyNumberFormat="1" applyBorder="1" applyAlignment="1">
      <alignment horizontal="center"/>
    </xf>
    <xf numFmtId="9" fontId="0" fillId="0" borderId="21" xfId="0" applyNumberFormat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10" fontId="9" fillId="6" borderId="0" xfId="2" applyNumberFormat="1"/>
    <xf numFmtId="0" fontId="10" fillId="7" borderId="0" xfId="0" applyFont="1" applyFill="1"/>
    <xf numFmtId="164" fontId="10" fillId="7" borderId="0" xfId="0" applyNumberFormat="1" applyFont="1" applyFill="1" applyAlignment="1">
      <alignment horizontal="center"/>
    </xf>
    <xf numFmtId="0" fontId="2" fillId="8" borderId="0" xfId="0" applyFont="1" applyFill="1"/>
    <xf numFmtId="0" fontId="2" fillId="8" borderId="0" xfId="0" applyFont="1" applyFill="1" applyAlignment="1">
      <alignment horizontal="center"/>
    </xf>
  </cellXfs>
  <cellStyles count="3">
    <cellStyle name="Moeda" xfId="1" builtinId="4"/>
    <cellStyle name="Neutro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FOF's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A9-4489-B6AE-60E275E19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409575</xdr:colOff>
      <xdr:row>0</xdr:row>
      <xdr:rowOff>171450</xdr:rowOff>
    </xdr:from>
    <xdr:to>
      <xdr:col>5</xdr:col>
      <xdr:colOff>19050</xdr:colOff>
      <xdr:row>10</xdr:row>
      <xdr:rowOff>19050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96A3E39B-C2D7-FA85-051F-E424653E65B4}"/>
            </a:ext>
          </a:extLst>
        </xdr:cNvPr>
        <xdr:cNvSpPr/>
      </xdr:nvSpPr>
      <xdr:spPr>
        <a:xfrm>
          <a:off x="409575" y="171450"/>
          <a:ext cx="7867650" cy="1752600"/>
        </a:xfrm>
        <a:prstGeom prst="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0" b="1" cap="none" spc="0">
              <a:ln w="12700" cmpd="sng">
                <a:solidFill>
                  <a:schemeClr val="accent4"/>
                </a:solidFill>
                <a:prstDash val="solid"/>
              </a:ln>
              <a:gradFill>
                <a:gsLst>
                  <a:gs pos="0">
                    <a:schemeClr val="accent4"/>
                  </a:gs>
                  <a:gs pos="4000">
                    <a:schemeClr val="accent4">
                      <a:lumMod val="60000"/>
                      <a:lumOff val="40000"/>
                    </a:schemeClr>
                  </a:gs>
                  <a:gs pos="87000">
                    <a:schemeClr val="accent4">
                      <a:lumMod val="20000"/>
                      <a:lumOff val="80000"/>
                    </a:schemeClr>
                  </a:gs>
                </a:gsLst>
                <a:lin ang="5400000"/>
              </a:gradFill>
              <a:effectLst/>
              <a:latin typeface="+mj-lt"/>
            </a:rPr>
            <a:t>  </a:t>
          </a:r>
          <a:r>
            <a:rPr lang="pt-BR" sz="8000" b="1" cap="none" spc="50">
              <a:ln w="9525" cmpd="sng">
                <a:solidFill>
                  <a:schemeClr val="accent1"/>
                </a:solidFill>
                <a:prstDash val="solid"/>
              </a:ln>
              <a:solidFill>
                <a:srgbClr val="70AD47">
                  <a:tint val="1000"/>
                </a:srgb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  <a:latin typeface="+mj-lt"/>
            </a:rPr>
            <a:t>DIO</a:t>
          </a:r>
          <a:r>
            <a:rPr lang="pt-BR" sz="8000" b="1" cap="none" spc="50" baseline="0">
              <a:ln w="9525" cmpd="sng">
                <a:solidFill>
                  <a:schemeClr val="accent1"/>
                </a:solidFill>
                <a:prstDash val="solid"/>
              </a:ln>
              <a:solidFill>
                <a:srgbClr val="70AD47">
                  <a:tint val="1000"/>
                </a:srgb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  <a:latin typeface="+mj-lt"/>
            </a:rPr>
            <a:t> INVEST</a:t>
          </a:r>
          <a:endParaRPr lang="pt-BR" sz="8000" b="1" cap="none" spc="0">
            <a:ln w="12700" cmpd="sng">
              <a:solidFill>
                <a:schemeClr val="accent4"/>
              </a:solidFill>
              <a:prstDash val="solid"/>
            </a:ln>
            <a:gradFill>
              <a:gsLst>
                <a:gs pos="0">
                  <a:schemeClr val="accent4"/>
                </a:gs>
                <a:gs pos="4000">
                  <a:schemeClr val="accent4">
                    <a:lumMod val="60000"/>
                    <a:lumOff val="40000"/>
                  </a:schemeClr>
                </a:gs>
                <a:gs pos="87000">
                  <a:schemeClr val="accent4">
                    <a:lumMod val="20000"/>
                    <a:lumOff val="80000"/>
                  </a:schemeClr>
                </a:gs>
              </a:gsLst>
              <a:lin ang="5400000"/>
            </a:gradFill>
            <a:effectLst/>
            <a:latin typeface="+mj-lt"/>
          </a:endParaRPr>
        </a:p>
      </xdr:txBody>
    </xdr:sp>
    <xdr:clientData/>
  </xdr:twoCellAnchor>
  <xdr:twoCellAnchor>
    <xdr:from>
      <xdr:col>1</xdr:col>
      <xdr:colOff>1523999</xdr:colOff>
      <xdr:row>44</xdr:row>
      <xdr:rowOff>0</xdr:rowOff>
    </xdr:from>
    <xdr:to>
      <xdr:col>3</xdr:col>
      <xdr:colOff>552450</xdr:colOff>
      <xdr:row>61</xdr:row>
      <xdr:rowOff>123825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FCF2D6E-B8F4-6FA4-6445-BD474BF859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EDEB1-313D-4CC5-BE24-FDA7644021EE}">
  <dimension ref="A11:M66"/>
  <sheetViews>
    <sheetView showGridLines="0" tabSelected="1" topLeftCell="A47" workbookViewId="0">
      <selection activeCell="H19" sqref="H19"/>
    </sheetView>
  </sheetViews>
  <sheetFormatPr defaultColWidth="0" defaultRowHeight="15" x14ac:dyDescent="0.25"/>
  <cols>
    <col min="1" max="1" width="9.140625" customWidth="1"/>
    <col min="2" max="2" width="51.5703125" customWidth="1"/>
    <col min="3" max="3" width="44.7109375" customWidth="1"/>
    <col min="4" max="4" width="15.140625" customWidth="1"/>
    <col min="5" max="5" width="3.28515625" customWidth="1"/>
    <col min="6" max="6" width="4.140625" customWidth="1"/>
    <col min="7" max="7" width="3.5703125" customWidth="1"/>
    <col min="8" max="8" width="4.42578125" customWidth="1"/>
    <col min="9" max="9" width="12.140625" hidden="1" customWidth="1"/>
    <col min="10" max="11" width="9.140625" hidden="1" customWidth="1"/>
    <col min="12" max="12" width="9.140625" hidden="1"/>
    <col min="13" max="13" width="12" hidden="1"/>
    <col min="14" max="14" width="0" hidden="1" customWidth="1"/>
  </cols>
  <sheetData>
    <row r="11" spans="2:4" ht="15.75" thickBot="1" x14ac:dyDescent="0.3"/>
    <row r="12" spans="2:4" ht="26.25" x14ac:dyDescent="0.25">
      <c r="B12" s="28" t="s">
        <v>16</v>
      </c>
      <c r="C12" s="29"/>
      <c r="D12" s="3"/>
    </row>
    <row r="13" spans="2:4" ht="16.5" thickBot="1" x14ac:dyDescent="0.3">
      <c r="B13" s="22" t="s">
        <v>14</v>
      </c>
      <c r="C13" s="23"/>
      <c r="D13" s="4">
        <v>2000</v>
      </c>
    </row>
    <row r="14" spans="2:4" ht="16.5" thickBot="1" x14ac:dyDescent="0.3">
      <c r="B14" s="24" t="s">
        <v>13</v>
      </c>
      <c r="C14" s="25"/>
      <c r="D14" s="5">
        <v>6.0000000000000001E-3</v>
      </c>
    </row>
    <row r="15" spans="2:4" ht="16.5" thickBot="1" x14ac:dyDescent="0.3">
      <c r="B15" s="26" t="s">
        <v>15</v>
      </c>
      <c r="C15" s="27"/>
      <c r="D15" s="21">
        <f>D13*30%</f>
        <v>600</v>
      </c>
    </row>
    <row r="16" spans="2:4" ht="15.75" thickBot="1" x14ac:dyDescent="0.3"/>
    <row r="17" spans="1:6" ht="37.5" customHeight="1" x14ac:dyDescent="0.25">
      <c r="B17" s="30" t="s">
        <v>5</v>
      </c>
      <c r="C17" s="31"/>
      <c r="D17" s="6"/>
    </row>
    <row r="18" spans="1:6" ht="16.5" thickBot="1" x14ac:dyDescent="0.3">
      <c r="B18" s="22" t="s">
        <v>0</v>
      </c>
      <c r="C18" s="23"/>
      <c r="D18" s="7">
        <v>200</v>
      </c>
    </row>
    <row r="19" spans="1:6" ht="16.5" thickBot="1" x14ac:dyDescent="0.3">
      <c r="B19" s="24" t="s">
        <v>1</v>
      </c>
      <c r="C19" s="25"/>
      <c r="D19" s="8">
        <v>5</v>
      </c>
    </row>
    <row r="20" spans="1:6" ht="16.5" thickBot="1" x14ac:dyDescent="0.3">
      <c r="B20" s="24" t="s">
        <v>2</v>
      </c>
      <c r="C20" s="25"/>
      <c r="D20" s="9">
        <v>1.0789999999999999E-2</v>
      </c>
    </row>
    <row r="21" spans="1:6" ht="16.5" thickBot="1" x14ac:dyDescent="0.3">
      <c r="B21" s="34" t="s">
        <v>3</v>
      </c>
      <c r="C21" s="35"/>
      <c r="D21" s="10">
        <f>FV(taxa_mensal,qtd_anos*12,aporte*-1)</f>
        <v>16755.382799697527</v>
      </c>
    </row>
    <row r="22" spans="1:6" ht="16.5" thickBot="1" x14ac:dyDescent="0.3">
      <c r="B22" s="36" t="s">
        <v>4</v>
      </c>
      <c r="C22" s="37"/>
      <c r="D22" s="11">
        <f>patrimonio*rendimento_carteira</f>
        <v>100.53229679818516</v>
      </c>
    </row>
    <row r="23" spans="1:6" ht="15.75" thickBot="1" x14ac:dyDescent="0.3">
      <c r="F23" s="2"/>
    </row>
    <row r="24" spans="1:6" ht="26.25" x14ac:dyDescent="0.25">
      <c r="B24" s="32" t="s">
        <v>11</v>
      </c>
      <c r="C24" s="33"/>
      <c r="D24" s="12" t="s">
        <v>12</v>
      </c>
    </row>
    <row r="25" spans="1:6" ht="15.75" x14ac:dyDescent="0.25">
      <c r="A25" s="1">
        <v>2</v>
      </c>
      <c r="B25" s="13" t="s">
        <v>6</v>
      </c>
      <c r="C25" s="14">
        <f>FV($D$20,$A25*12,$D$18*-1)</f>
        <v>5445.5254595290435</v>
      </c>
      <c r="D25" s="15">
        <f>C25*rendimento_carteira</f>
        <v>32.673152757174265</v>
      </c>
    </row>
    <row r="26" spans="1:6" ht="15.75" x14ac:dyDescent="0.25">
      <c r="A26" s="1">
        <v>5</v>
      </c>
      <c r="B26" s="16" t="s">
        <v>7</v>
      </c>
      <c r="C26" s="17">
        <f>FV($D$20,$A26*12,$D$18*-1)</f>
        <v>16755.382799697527</v>
      </c>
      <c r="D26" s="15">
        <f>C26*rendimento_carteira</f>
        <v>100.53229679818516</v>
      </c>
    </row>
    <row r="27" spans="1:6" ht="15.75" x14ac:dyDescent="0.25">
      <c r="A27" s="1">
        <v>10</v>
      </c>
      <c r="B27" s="16" t="s">
        <v>8</v>
      </c>
      <c r="C27" s="17">
        <f>FV($D$20,$A27*12,$D$18*-1)</f>
        <v>48656.842506034438</v>
      </c>
      <c r="D27" s="15">
        <f>C27*rendimento_carteira</f>
        <v>291.94105503620665</v>
      </c>
    </row>
    <row r="28" spans="1:6" ht="15.75" x14ac:dyDescent="0.25">
      <c r="A28" s="1">
        <v>20</v>
      </c>
      <c r="B28" s="16" t="s">
        <v>9</v>
      </c>
      <c r="C28" s="17">
        <f>FV($D$20,$A28*12,$D$18*-1)</f>
        <v>225039.68001941612</v>
      </c>
      <c r="D28" s="15">
        <f>C28*rendimento_carteira</f>
        <v>1350.2380801164968</v>
      </c>
    </row>
    <row r="29" spans="1:6" ht="16.5" thickBot="1" x14ac:dyDescent="0.3">
      <c r="A29" s="1">
        <v>30</v>
      </c>
      <c r="B29" s="18" t="s">
        <v>10</v>
      </c>
      <c r="C29" s="19">
        <f>FV($D$20,$A29*12,$D$18*-1)</f>
        <v>864433.93100094295</v>
      </c>
      <c r="D29" s="20">
        <f>C29*rendimento_carteira</f>
        <v>5186.6035860056581</v>
      </c>
    </row>
    <row r="32" spans="1:6" x14ac:dyDescent="0.25">
      <c r="B32" s="44" t="s">
        <v>20</v>
      </c>
      <c r="C32" s="40" t="s">
        <v>17</v>
      </c>
      <c r="D32" s="38"/>
    </row>
    <row r="33" spans="2:4" x14ac:dyDescent="0.25">
      <c r="B33" s="42" t="s">
        <v>19</v>
      </c>
      <c r="C33" s="43">
        <f>aporte</f>
        <v>200</v>
      </c>
      <c r="D33" s="39"/>
    </row>
    <row r="35" spans="2:4" x14ac:dyDescent="0.25">
      <c r="B35" s="47" t="s">
        <v>21</v>
      </c>
      <c r="C35" s="47" t="s">
        <v>22</v>
      </c>
      <c r="D35" s="47" t="s">
        <v>23</v>
      </c>
    </row>
    <row r="36" spans="2:4" x14ac:dyDescent="0.25">
      <c r="B36" s="45" t="s">
        <v>24</v>
      </c>
      <c r="C36" s="46">
        <f>VLOOKUP($C$32&amp;"-"&amp;B36,Apoio!$A$1:$D$20,4,FALSE)</f>
        <v>0.3</v>
      </c>
      <c r="D36" s="41">
        <f>C36*$C$33</f>
        <v>60</v>
      </c>
    </row>
    <row r="37" spans="2:4" x14ac:dyDescent="0.25">
      <c r="B37" s="45" t="s">
        <v>25</v>
      </c>
      <c r="C37" s="46">
        <f>VLOOKUP($C$32&amp;"-"&amp;B37,Apoio!$A$1:$D$20,4,FALSE)</f>
        <v>0.5</v>
      </c>
      <c r="D37" s="41">
        <f t="shared" ref="D37:D41" si="0">C37*$C$33</f>
        <v>100</v>
      </c>
    </row>
    <row r="38" spans="2:4" x14ac:dyDescent="0.25">
      <c r="B38" s="45" t="s">
        <v>26</v>
      </c>
      <c r="C38" s="46">
        <f>VLOOKUP($C$32&amp;"-"&amp;B38,Apoio!$A$1:$D$20,4,FALSE)</f>
        <v>0.1</v>
      </c>
      <c r="D38" s="41">
        <f t="shared" si="0"/>
        <v>20</v>
      </c>
    </row>
    <row r="39" spans="2:4" x14ac:dyDescent="0.25">
      <c r="B39" s="45" t="s">
        <v>27</v>
      </c>
      <c r="C39" s="46">
        <f>VLOOKUP($C$32&amp;"-"&amp;B39,Apoio!$A$1:$D$20,4,FALSE)</f>
        <v>0.1</v>
      </c>
      <c r="D39" s="41">
        <f t="shared" si="0"/>
        <v>20</v>
      </c>
    </row>
    <row r="40" spans="2:4" x14ac:dyDescent="0.25">
      <c r="B40" s="45" t="s">
        <v>28</v>
      </c>
      <c r="C40" s="46">
        <f>VLOOKUP($C$32&amp;"-"&amp;B40,Apoio!$A$1:$D$20,4,FALSE)</f>
        <v>0</v>
      </c>
      <c r="D40" s="41">
        <f t="shared" si="0"/>
        <v>0</v>
      </c>
    </row>
    <row r="41" spans="2:4" x14ac:dyDescent="0.25">
      <c r="B41" s="45" t="s">
        <v>29</v>
      </c>
      <c r="C41" s="46">
        <f>VLOOKUP($C$32&amp;"-"&amp;B41,Apoio!$A$1:$D$20,4,FALSE)</f>
        <v>0</v>
      </c>
      <c r="D41" s="41">
        <f t="shared" si="0"/>
        <v>0</v>
      </c>
    </row>
    <row r="42" spans="2:4" x14ac:dyDescent="0.25">
      <c r="B42" s="54"/>
      <c r="C42" s="54"/>
      <c r="D42" s="55">
        <f>SUM(D36:D41)</f>
        <v>200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</sheetData>
  <mergeCells count="11">
    <mergeCell ref="B24:C24"/>
    <mergeCell ref="B18:C18"/>
    <mergeCell ref="B19:C19"/>
    <mergeCell ref="B20:C20"/>
    <mergeCell ref="B21:C21"/>
    <mergeCell ref="B22:C22"/>
    <mergeCell ref="B13:C13"/>
    <mergeCell ref="B14:C14"/>
    <mergeCell ref="B15:C15"/>
    <mergeCell ref="B12:C12"/>
    <mergeCell ref="B17:C17"/>
  </mergeCells>
  <dataValidations count="1">
    <dataValidation type="list" allowBlank="1" showInputMessage="1" showErrorMessage="1" sqref="C32" xr:uid="{5EEE0B77-FE04-4B6C-B3AB-DFCA78DEBA67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C2286-5F8E-4653-9C32-F8611C0850E8}">
  <dimension ref="A2:H20"/>
  <sheetViews>
    <sheetView showGridLines="0" workbookViewId="0">
      <selection activeCell="G15" sqref="G15"/>
    </sheetView>
  </sheetViews>
  <sheetFormatPr defaultRowHeight="15" x14ac:dyDescent="0.25"/>
  <cols>
    <col min="1" max="1" width="30.85546875" bestFit="1" customWidth="1"/>
    <col min="2" max="2" width="12.140625" bestFit="1" customWidth="1"/>
    <col min="3" max="3" width="18.5703125" bestFit="1" customWidth="1"/>
    <col min="7" max="7" width="16.85546875" bestFit="1" customWidth="1"/>
  </cols>
  <sheetData>
    <row r="2" spans="1:8" x14ac:dyDescent="0.25">
      <c r="A2" s="56" t="s">
        <v>31</v>
      </c>
      <c r="B2" s="56" t="s">
        <v>20</v>
      </c>
      <c r="C2" s="56" t="s">
        <v>21</v>
      </c>
      <c r="D2" s="57" t="s">
        <v>30</v>
      </c>
    </row>
    <row r="3" spans="1:8" x14ac:dyDescent="0.25">
      <c r="A3" s="48" t="str">
        <f>B3&amp;"-"&amp;C3</f>
        <v>Conservador-PAPEL</v>
      </c>
      <c r="B3" s="48" t="s">
        <v>17</v>
      </c>
      <c r="C3" s="48" t="s">
        <v>24</v>
      </c>
      <c r="D3" s="50">
        <v>0.3</v>
      </c>
      <c r="H3" t="s">
        <v>30</v>
      </c>
    </row>
    <row r="4" spans="1:8" x14ac:dyDescent="0.25">
      <c r="A4" s="48" t="str">
        <f t="shared" ref="A4:A20" si="0">B4&amp;"-"&amp;C4</f>
        <v>Conservador-TIJOLO</v>
      </c>
      <c r="B4" s="48" t="s">
        <v>17</v>
      </c>
      <c r="C4" s="48" t="s">
        <v>25</v>
      </c>
      <c r="D4" s="50">
        <v>0.5</v>
      </c>
      <c r="G4" s="38" t="s">
        <v>33</v>
      </c>
      <c r="H4" s="53">
        <f>VLOOKUP(G4,A2:D20,4,FALSE)</f>
        <v>0.35</v>
      </c>
    </row>
    <row r="5" spans="1:8" x14ac:dyDescent="0.25">
      <c r="A5" s="48" t="str">
        <f t="shared" si="0"/>
        <v>Conservador-HÍBRIDOS</v>
      </c>
      <c r="B5" s="48" t="s">
        <v>17</v>
      </c>
      <c r="C5" s="48" t="s">
        <v>26</v>
      </c>
      <c r="D5" s="50">
        <v>0.1</v>
      </c>
    </row>
    <row r="6" spans="1:8" x14ac:dyDescent="0.25">
      <c r="A6" s="48" t="str">
        <f t="shared" si="0"/>
        <v>Conservador-FOF's</v>
      </c>
      <c r="B6" s="48" t="s">
        <v>17</v>
      </c>
      <c r="C6" s="48" t="s">
        <v>27</v>
      </c>
      <c r="D6" s="50">
        <v>0.1</v>
      </c>
    </row>
    <row r="7" spans="1:8" x14ac:dyDescent="0.25">
      <c r="A7" s="48" t="str">
        <f t="shared" si="0"/>
        <v>Conservador-DESENVOLVIMENTO</v>
      </c>
      <c r="B7" s="48" t="s">
        <v>17</v>
      </c>
      <c r="C7" s="48" t="s">
        <v>28</v>
      </c>
      <c r="D7" s="50">
        <v>0</v>
      </c>
    </row>
    <row r="8" spans="1:8" ht="15.75" thickBot="1" x14ac:dyDescent="0.3">
      <c r="A8" s="49" t="str">
        <f t="shared" si="0"/>
        <v>Conservador-HOTELARIAS</v>
      </c>
      <c r="B8" s="49" t="s">
        <v>17</v>
      </c>
      <c r="C8" s="49" t="s">
        <v>29</v>
      </c>
      <c r="D8" s="51">
        <v>0</v>
      </c>
    </row>
    <row r="9" spans="1:8" x14ac:dyDescent="0.25">
      <c r="A9" s="48" t="str">
        <f t="shared" si="0"/>
        <v>Moderado-PAPEL</v>
      </c>
      <c r="B9" s="48" t="s">
        <v>18</v>
      </c>
      <c r="C9" s="48" t="s">
        <v>24</v>
      </c>
      <c r="D9" s="52">
        <v>0.32</v>
      </c>
    </row>
    <row r="10" spans="1:8" x14ac:dyDescent="0.25">
      <c r="A10" s="48" t="str">
        <f t="shared" si="0"/>
        <v>Moderado-TIJOLO</v>
      </c>
      <c r="B10" s="48" t="s">
        <v>18</v>
      </c>
      <c r="C10" s="48" t="s">
        <v>25</v>
      </c>
      <c r="D10" s="52">
        <v>0.35</v>
      </c>
    </row>
    <row r="11" spans="1:8" x14ac:dyDescent="0.25">
      <c r="A11" s="48" t="str">
        <f t="shared" si="0"/>
        <v>Moderado-HÍBRIDOS</v>
      </c>
      <c r="B11" s="48" t="s">
        <v>18</v>
      </c>
      <c r="C11" s="48" t="s">
        <v>26</v>
      </c>
      <c r="D11" s="52">
        <v>0.08</v>
      </c>
    </row>
    <row r="12" spans="1:8" x14ac:dyDescent="0.25">
      <c r="A12" s="48" t="str">
        <f t="shared" si="0"/>
        <v>Moderado-FOF's</v>
      </c>
      <c r="B12" s="48" t="s">
        <v>18</v>
      </c>
      <c r="C12" s="48" t="s">
        <v>27</v>
      </c>
      <c r="D12" s="52">
        <v>0.05</v>
      </c>
    </row>
    <row r="13" spans="1:8" x14ac:dyDescent="0.25">
      <c r="A13" s="48" t="str">
        <f t="shared" si="0"/>
        <v>Moderado-DESENVOLVIMENTO</v>
      </c>
      <c r="B13" s="48" t="s">
        <v>18</v>
      </c>
      <c r="C13" s="48" t="s">
        <v>28</v>
      </c>
      <c r="D13" s="52">
        <v>0.1</v>
      </c>
    </row>
    <row r="14" spans="1:8" ht="15.75" thickBot="1" x14ac:dyDescent="0.3">
      <c r="A14" s="49" t="str">
        <f t="shared" si="0"/>
        <v>Moderado-HOTELARIAS</v>
      </c>
      <c r="B14" s="49" t="s">
        <v>18</v>
      </c>
      <c r="C14" s="49" t="s">
        <v>29</v>
      </c>
      <c r="D14" s="51">
        <v>0.1</v>
      </c>
    </row>
    <row r="15" spans="1:8" ht="15.75" thickBot="1" x14ac:dyDescent="0.3">
      <c r="A15" s="49" t="str">
        <f t="shared" si="0"/>
        <v>Agressivo-PAPEL</v>
      </c>
      <c r="B15" t="s">
        <v>32</v>
      </c>
      <c r="C15" t="s">
        <v>24</v>
      </c>
      <c r="D15" s="46">
        <v>0.5</v>
      </c>
    </row>
    <row r="16" spans="1:8" ht="15.75" thickBot="1" x14ac:dyDescent="0.3">
      <c r="A16" s="49" t="str">
        <f t="shared" si="0"/>
        <v>Agressivo-TIJOLO</v>
      </c>
      <c r="B16" t="s">
        <v>32</v>
      </c>
      <c r="C16" t="s">
        <v>25</v>
      </c>
      <c r="D16" s="46">
        <v>0.1</v>
      </c>
    </row>
    <row r="17" spans="1:4" ht="15.75" thickBot="1" x14ac:dyDescent="0.3">
      <c r="A17" s="49" t="str">
        <f t="shared" si="0"/>
        <v>Agressivo-HÍBRIDOS</v>
      </c>
      <c r="B17" t="s">
        <v>32</v>
      </c>
      <c r="C17" t="s">
        <v>26</v>
      </c>
      <c r="D17" s="46">
        <v>0.05</v>
      </c>
    </row>
    <row r="18" spans="1:4" ht="15.75" thickBot="1" x14ac:dyDescent="0.3">
      <c r="A18" s="49" t="str">
        <f t="shared" si="0"/>
        <v>Agressivo-FOF's</v>
      </c>
      <c r="B18" t="s">
        <v>32</v>
      </c>
      <c r="C18" t="s">
        <v>27</v>
      </c>
      <c r="D18" s="46">
        <v>0.05</v>
      </c>
    </row>
    <row r="19" spans="1:4" ht="15.75" thickBot="1" x14ac:dyDescent="0.3">
      <c r="A19" s="49" t="str">
        <f t="shared" si="0"/>
        <v>Agressivo-DESENVOLVIMENTO</v>
      </c>
      <c r="B19" t="s">
        <v>32</v>
      </c>
      <c r="C19" t="s">
        <v>28</v>
      </c>
      <c r="D19" s="46">
        <v>0.2</v>
      </c>
    </row>
    <row r="20" spans="1:4" ht="15.75" thickBot="1" x14ac:dyDescent="0.3">
      <c r="A20" s="49" t="str">
        <f t="shared" si="0"/>
        <v>Agressivo-HOTELARIAS</v>
      </c>
      <c r="B20" t="s">
        <v>32</v>
      </c>
      <c r="C20" t="s">
        <v>29</v>
      </c>
      <c r="D20" s="46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Apoio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Ligya Bezerra Soares</dc:creator>
  <cp:lastModifiedBy>Ligya Bezerra Soares</cp:lastModifiedBy>
  <dcterms:created xsi:type="dcterms:W3CDTF">2026-01-22T16:04:28Z</dcterms:created>
  <dcterms:modified xsi:type="dcterms:W3CDTF">2026-01-26T16:35:46Z</dcterms:modified>
</cp:coreProperties>
</file>